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05" windowWidth="28515" windowHeight="12600"/>
  </bookViews>
  <sheets>
    <sheet name="Feuil1" sheetId="1" r:id="rId1"/>
    <sheet name="Feuil2" sheetId="2" r:id="rId2"/>
    <sheet name="Feuil3" sheetId="3" r:id="rId3"/>
  </sheets>
  <definedNames>
    <definedName name="_xlnm.Print_Area" localSheetId="0">Feuil1!$A$1:$N$51</definedName>
  </definedNames>
  <calcPr calcId="144525"/>
</workbook>
</file>

<file path=xl/calcChain.xml><?xml version="1.0" encoding="utf-8"?>
<calcChain xmlns="http://schemas.openxmlformats.org/spreadsheetml/2006/main">
  <c r="L28" i="1" l="1"/>
  <c r="N28" i="1"/>
  <c r="M27" i="1"/>
  <c r="J10" i="1"/>
  <c r="J9" i="1"/>
  <c r="J18" i="1" s="1"/>
  <c r="L10" i="1" l="1"/>
  <c r="K10" i="1"/>
  <c r="M23" i="1"/>
  <c r="K23" i="1"/>
  <c r="K22" i="1"/>
  <c r="J11" i="1"/>
  <c r="M19" i="1"/>
  <c r="M18" i="1"/>
  <c r="L25" i="1"/>
  <c r="M25" i="1"/>
  <c r="N25" i="1"/>
  <c r="K25" i="1"/>
  <c r="N26" i="1"/>
  <c r="M26" i="1"/>
  <c r="M24" i="1"/>
  <c r="K24" i="1"/>
  <c r="L22" i="1"/>
  <c r="M22" i="1"/>
  <c r="N22" i="1"/>
  <c r="M20" i="1"/>
  <c r="K20" i="1"/>
  <c r="K19" i="1"/>
  <c r="K18" i="1"/>
  <c r="N10" i="1"/>
  <c r="M10" i="1"/>
  <c r="M32" i="1" s="1"/>
  <c r="M33" i="1" s="1"/>
  <c r="L9" i="1"/>
  <c r="K9" i="1"/>
  <c r="K31" i="1" s="1"/>
  <c r="K33" i="1" s="1"/>
  <c r="K42" i="1" s="1"/>
  <c r="J12" i="1" l="1"/>
  <c r="J17" i="1" s="1"/>
  <c r="M42" i="1"/>
  <c r="K17" i="1" l="1"/>
  <c r="K29" i="1" s="1"/>
  <c r="K37" i="1" s="1"/>
  <c r="K46" i="1" s="1"/>
  <c r="J14" i="1"/>
  <c r="N14" i="1" s="1"/>
  <c r="N29" i="1" s="1"/>
  <c r="N37" i="1" s="1"/>
  <c r="N46" i="1" s="1"/>
  <c r="J29" i="1"/>
  <c r="M17" i="1"/>
  <c r="N34" i="1"/>
  <c r="M29" i="1" l="1"/>
  <c r="M37" i="1" s="1"/>
  <c r="M46" i="1" s="1"/>
  <c r="L14" i="1"/>
  <c r="L29" i="1" s="1"/>
  <c r="L37" i="1" s="1"/>
  <c r="L46" i="1" s="1"/>
  <c r="L34" i="1"/>
</calcChain>
</file>

<file path=xl/sharedStrings.xml><?xml version="1.0" encoding="utf-8"?>
<sst xmlns="http://schemas.openxmlformats.org/spreadsheetml/2006/main" count="92" uniqueCount="52">
  <si>
    <t>Revenus locatifs hors charge</t>
  </si>
  <si>
    <t>Revenus locatifs charges comprises</t>
  </si>
  <si>
    <t>location nue</t>
  </si>
  <si>
    <t>location meublée</t>
  </si>
  <si>
    <t>Assurance propriaitaire non occupant</t>
  </si>
  <si>
    <t>Assurance loyers impayés</t>
  </si>
  <si>
    <t>Taxe d'habitation</t>
  </si>
  <si>
    <t>Honoraire comptable</t>
  </si>
  <si>
    <t>ICD</t>
  </si>
  <si>
    <t>Assiette imposable</t>
  </si>
  <si>
    <t>NA</t>
  </si>
  <si>
    <t>Bilan avant imposition</t>
  </si>
  <si>
    <t>Abattement forfaitaire sur revenu locatifs "location nue"</t>
  </si>
  <si>
    <t>Abattement forfaitaire sur revenu locatifs "location meublée"</t>
  </si>
  <si>
    <t>-</t>
  </si>
  <si>
    <t xml:space="preserve">Taux prelevement social </t>
  </si>
  <si>
    <t>Montant impot foncier</t>
  </si>
  <si>
    <t>Bilan après imposition</t>
  </si>
  <si>
    <t>situation 1</t>
  </si>
  <si>
    <t>situation 2</t>
  </si>
  <si>
    <t>situation 3</t>
  </si>
  <si>
    <t>situation 4</t>
  </si>
  <si>
    <t xml:space="preserve">Type de location </t>
  </si>
  <si>
    <t>Régime d'imposition</t>
  </si>
  <si>
    <t>Non applicable</t>
  </si>
  <si>
    <t>Légende:</t>
  </si>
  <si>
    <t>Deficite foncier</t>
  </si>
  <si>
    <t>Inclus dans charges déductibles</t>
  </si>
  <si>
    <t>Valeurs à titre d' exemple</t>
  </si>
  <si>
    <t>Charges déductibles  dont amortissement établis par le cabinet comptable</t>
  </si>
  <si>
    <t>Mensualitées hors intérêt d'emprunt</t>
  </si>
  <si>
    <t>Intérêts d'emprunt</t>
  </si>
  <si>
    <t>Contribution foncière des entreprisres</t>
  </si>
  <si>
    <t>Taxe foncière</t>
  </si>
  <si>
    <t>Total des charges</t>
  </si>
  <si>
    <t>Charges de coproprieté payé par le propriataire (30% des charges totales*)</t>
  </si>
  <si>
    <t>*</t>
  </si>
  <si>
    <t>Taux observés en moyenne</t>
  </si>
  <si>
    <t>Charges de coproprietés payées par le locataire (70% des charges totales*)</t>
  </si>
  <si>
    <t>Exemple de Mr Dupont</t>
  </si>
  <si>
    <t>régime "forfaitaire"</t>
  </si>
  <si>
    <t>régime "réel"</t>
  </si>
  <si>
    <t>Taux marginal d'imposition de Mr Dupont</t>
  </si>
  <si>
    <t>Non pertinent</t>
  </si>
  <si>
    <t>Revenus locatifs charges comprises - total charges</t>
  </si>
  <si>
    <t>Ensemble des charges liées à la location du bien (dont certaines sont déductibles)</t>
  </si>
  <si>
    <t>Charges de coproprietés</t>
  </si>
  <si>
    <t>Gestion Locative via une agence ( 5% à 10% du loyer hors charge*)</t>
  </si>
  <si>
    <t>Autres charges non deductibles</t>
  </si>
  <si>
    <t>Amortissements</t>
  </si>
  <si>
    <t>Comparaison des situations</t>
  </si>
  <si>
    <t>Les 4 situations ont un bilan negatif au bout des compte, chaque resultat est negatif, Les situations avec un regime forfaitaire sont le plus defavorable bien que les resultat soient les moins deficitaire, Ils sont le plus defavorables car cet un deficinet net, En revanche les situations au regimereel ont un deficit foncier, qui est deductible de l' assiette imposable sur les revenus,Prenon l' example pour un célibataire, le quotient familial est d'une part. Premièrement, il doit donc effectuer l’opération 32 000 €/1 = 32 000 €.
Pour le calcul de son impôt, il faut ensuite soumettre ce résultat au barème applicable aux revenus perçus en 2025 :
Tranche de revenu jusqu'à 11 600 € imposée à 0 % = 0 €
Tranche de revenu de 11 601 € à 29 579 €  imposée à 11 % : soit (29 579  - 11 601) x 11 % =  1 977,58 €
Tranche de revenu de 29 580 € à 32 000 € imposée à 30 % : soit (32 000 - 29 580 ) x 30 % =  726 €
Le taux marginal d'imposition de ce célibataire est de 30 %, mais tous ses revenus ne sont pas imposés à 30 %. Le résultat total obtenu est égal à 0 + 1 977,58 + 726= 2 703,58 €.
Pour trouver l’impôt dont ce célibataire devra s’acquitter sur ses revenus, il reste à multiplier ce montant par le nombre de part de quotient familial : 2 703,58 € x 1 = 2 703,58 €. Si onde duit le deficite foncier de 3380€ on se rtrouve avec une assiete imposable de 28620€, De ce fait la tranche imposable a 30% ne s' applique plus, 28 620 -11 601 = 17 019 * 11% = 1 872,09€, Dans ce cas precis on a une reduction d'impot de 800€, Le deficite foncier est deductible jusqu a 7200€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</si>
</sst>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 [$€-40C]_-;\-* #,##0\ [$€-40C]_-;_-* &quot;-&quot;??\ [$€-40C]_-;_-@_-"/>
    <numFmt numFmtId="165" formatCode="0.0%"/>
  </numFmts>
  <fonts count="7" x14ac:knownFonts="1">
    <font>
      <sz val="11"/>
      <color theme="1"/>
      <name val="Calibri"/>
      <family val="2"/>
      <scheme val="minor"/>
    </font>
    <font>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sz val="14"/>
      <color rgb="FFFF0000"/>
      <name val="Calibri"/>
      <family val="2"/>
      <scheme val="minor"/>
    </font>
    <font>
      <sz val="12"/>
      <color rgb="FFFF0000"/>
      <name val="Calibri"/>
      <family val="2"/>
      <scheme val="minor"/>
    </font>
  </fonts>
  <fills count="10">
    <fill>
      <patternFill patternType="none"/>
    </fill>
    <fill>
      <patternFill patternType="gray125"/>
    </fill>
    <fill>
      <patternFill patternType="solid">
        <fgColor theme="8" tint="-0.249977111117893"/>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3" tint="0.39997558519241921"/>
        <bgColor indexed="64"/>
      </patternFill>
    </fill>
    <fill>
      <patternFill patternType="solid">
        <fgColor theme="7" tint="0.39997558519241921"/>
        <bgColor indexed="64"/>
      </patternFill>
    </fill>
  </fills>
  <borders count="32">
    <border>
      <left/>
      <right/>
      <top/>
      <bottom/>
      <diagonal/>
    </border>
    <border>
      <left/>
      <right/>
      <top style="thin">
        <color indexed="64"/>
      </top>
      <bottom/>
      <diagonal/>
    </border>
    <border>
      <left/>
      <right/>
      <top/>
      <bottom style="thin">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bottom/>
      <diagonal/>
    </border>
    <border>
      <left/>
      <right style="medium">
        <color indexed="64"/>
      </right>
      <top style="thin">
        <color indexed="64"/>
      </top>
      <bottom/>
      <diagonal/>
    </border>
    <border>
      <left/>
      <right style="medium">
        <color indexed="64"/>
      </right>
      <top/>
      <bottom style="thin">
        <color indexed="64"/>
      </bottom>
      <diagonal/>
    </border>
    <border>
      <left style="dashed">
        <color indexed="64"/>
      </left>
      <right style="medium">
        <color indexed="64"/>
      </right>
      <top style="thin">
        <color indexed="64"/>
      </top>
      <bottom/>
      <diagonal/>
    </border>
    <border>
      <left style="dashed">
        <color indexed="64"/>
      </left>
      <right style="medium">
        <color indexed="64"/>
      </right>
      <top/>
      <bottom/>
      <diagonal/>
    </border>
    <border>
      <left style="dashed">
        <color indexed="64"/>
      </left>
      <right style="medium">
        <color indexed="64"/>
      </right>
      <top/>
      <bottom style="thin">
        <color indexed="64"/>
      </bottom>
      <diagonal/>
    </border>
    <border>
      <left style="dashed">
        <color indexed="64"/>
      </left>
      <right style="thick">
        <color indexed="64"/>
      </right>
      <top style="thin">
        <color indexed="64"/>
      </top>
      <bottom/>
      <diagonal/>
    </border>
    <border>
      <left style="dashed">
        <color indexed="64"/>
      </left>
      <right style="thick">
        <color indexed="64"/>
      </right>
      <top/>
      <bottom/>
      <diagonal/>
    </border>
    <border>
      <left style="dashed">
        <color indexed="64"/>
      </left>
      <right style="thick">
        <color indexed="64"/>
      </right>
      <top/>
      <bottom style="thin">
        <color indexed="64"/>
      </bottom>
      <diagonal/>
    </border>
    <border>
      <left style="dashed">
        <color indexed="64"/>
      </left>
      <right/>
      <top/>
      <bottom/>
      <diagonal/>
    </border>
    <border>
      <left/>
      <right style="medium">
        <color indexed="64"/>
      </right>
      <top/>
      <bottom/>
      <diagonal/>
    </border>
    <border>
      <left style="dashed">
        <color indexed="64"/>
      </left>
      <right/>
      <top style="thin">
        <color indexed="64"/>
      </top>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0" fillId="0" borderId="0" xfId="0" applyAlignment="1">
      <alignment horizontal="center"/>
    </xf>
    <xf numFmtId="0" fontId="0" fillId="0" borderId="0" xfId="0" applyAlignment="1">
      <alignment horizontal="center" vertical="center"/>
    </xf>
    <xf numFmtId="0" fontId="3" fillId="6" borderId="14" xfId="0" applyFont="1" applyFill="1" applyBorder="1" applyAlignment="1">
      <alignment horizontal="center" vertical="center"/>
    </xf>
    <xf numFmtId="0" fontId="4" fillId="4" borderId="12" xfId="0" applyFont="1" applyFill="1" applyBorder="1" applyAlignment="1">
      <alignment horizontal="center" vertical="center"/>
    </xf>
    <xf numFmtId="0" fontId="4" fillId="5" borderId="17" xfId="0" applyFont="1" applyFill="1" applyBorder="1" applyAlignment="1">
      <alignment horizontal="center" vertical="center"/>
    </xf>
    <xf numFmtId="0" fontId="4" fillId="6" borderId="12" xfId="0" applyFont="1" applyFill="1" applyBorder="1" applyAlignment="1">
      <alignment horizontal="center" vertical="center"/>
    </xf>
    <xf numFmtId="0" fontId="4" fillId="7" borderId="20" xfId="0" applyFont="1" applyFill="1" applyBorder="1" applyAlignment="1">
      <alignment horizontal="center" vertical="center"/>
    </xf>
    <xf numFmtId="0" fontId="3" fillId="7" borderId="20" xfId="0" applyFont="1" applyFill="1" applyBorder="1" applyAlignment="1">
      <alignment horizontal="center" vertical="center"/>
    </xf>
    <xf numFmtId="0" fontId="3" fillId="7" borderId="21"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0" xfId="0" applyFont="1" applyFill="1" applyBorder="1"/>
    <xf numFmtId="0" fontId="3" fillId="0" borderId="0" xfId="0" applyFont="1" applyFill="1" applyBorder="1" applyAlignment="1">
      <alignment horizontal="center"/>
    </xf>
    <xf numFmtId="0" fontId="3" fillId="0" borderId="2" xfId="0" applyFont="1" applyFill="1" applyBorder="1"/>
    <xf numFmtId="0" fontId="3" fillId="0" borderId="2" xfId="0" applyFont="1" applyFill="1" applyBorder="1" applyAlignment="1">
      <alignment horizontal="center"/>
    </xf>
    <xf numFmtId="0" fontId="3" fillId="0" borderId="6" xfId="0" applyFont="1" applyFill="1" applyBorder="1"/>
    <xf numFmtId="0" fontId="2" fillId="0" borderId="0" xfId="0" applyFont="1"/>
    <xf numFmtId="1" fontId="3" fillId="7" borderId="21" xfId="0" applyNumberFormat="1" applyFont="1" applyFill="1" applyBorder="1" applyAlignment="1">
      <alignment horizontal="center" vertical="center"/>
    </xf>
    <xf numFmtId="1" fontId="3" fillId="6" borderId="14" xfId="0" applyNumberFormat="1" applyFont="1" applyFill="1" applyBorder="1" applyAlignment="1">
      <alignment horizontal="center" vertical="center"/>
    </xf>
    <xf numFmtId="0" fontId="0" fillId="0" borderId="0" xfId="0" applyAlignment="1">
      <alignment horizontal="left"/>
    </xf>
    <xf numFmtId="0" fontId="3" fillId="0" borderId="6" xfId="0" applyFont="1" applyFill="1" applyBorder="1" applyAlignment="1">
      <alignment vertical="center"/>
    </xf>
    <xf numFmtId="0" fontId="3" fillId="0" borderId="0" xfId="0" applyFont="1" applyFill="1" applyBorder="1" applyAlignment="1">
      <alignment vertical="center"/>
    </xf>
    <xf numFmtId="0" fontId="0" fillId="0" borderId="0" xfId="0" applyAlignment="1">
      <alignment vertical="center"/>
    </xf>
    <xf numFmtId="164" fontId="3" fillId="0" borderId="0" xfId="0" applyNumberFormat="1" applyFont="1" applyFill="1" applyBorder="1" applyAlignment="1">
      <alignment vertical="center"/>
    </xf>
    <xf numFmtId="1" fontId="3" fillId="4" borderId="0" xfId="0" applyNumberFormat="1" applyFont="1" applyFill="1" applyAlignment="1">
      <alignment horizontal="center" vertical="center"/>
    </xf>
    <xf numFmtId="0" fontId="3" fillId="4" borderId="1" xfId="0" applyFont="1" applyFill="1" applyBorder="1" applyAlignment="1">
      <alignment horizontal="center" vertical="center"/>
    </xf>
    <xf numFmtId="1" fontId="3" fillId="4" borderId="0" xfId="0" applyNumberFormat="1" applyFont="1" applyFill="1" applyBorder="1" applyAlignment="1">
      <alignment horizontal="center" vertical="center"/>
    </xf>
    <xf numFmtId="0" fontId="3" fillId="4" borderId="0" xfId="0" applyFont="1" applyFill="1" applyBorder="1" applyAlignment="1">
      <alignment horizontal="center" vertical="center"/>
    </xf>
    <xf numFmtId="164" fontId="3" fillId="9" borderId="24" xfId="0" applyNumberFormat="1" applyFont="1" applyFill="1" applyBorder="1" applyAlignment="1">
      <alignment horizontal="center" vertical="center"/>
    </xf>
    <xf numFmtId="0" fontId="3" fillId="9" borderId="24" xfId="0" applyFont="1" applyFill="1" applyBorder="1" applyAlignment="1">
      <alignment horizontal="center" vertical="center"/>
    </xf>
    <xf numFmtId="9" fontId="3" fillId="9" borderId="24" xfId="1" applyFont="1" applyFill="1" applyBorder="1" applyAlignment="1">
      <alignment horizontal="right" vertical="center"/>
    </xf>
    <xf numFmtId="9" fontId="3" fillId="9" borderId="24" xfId="0" applyNumberFormat="1" applyFont="1" applyFill="1" applyBorder="1" applyAlignment="1">
      <alignment horizontal="right" vertical="center"/>
    </xf>
    <xf numFmtId="165" fontId="3" fillId="9" borderId="24" xfId="0" applyNumberFormat="1" applyFont="1" applyFill="1" applyBorder="1" applyAlignment="1">
      <alignment horizontal="right" vertical="center"/>
    </xf>
    <xf numFmtId="1" fontId="3" fillId="5" borderId="23" xfId="0" applyNumberFormat="1" applyFont="1" applyFill="1" applyBorder="1" applyAlignment="1">
      <alignment horizontal="center" vertical="center"/>
    </xf>
    <xf numFmtId="0" fontId="3" fillId="5" borderId="23" xfId="0" applyFont="1" applyFill="1" applyBorder="1" applyAlignment="1">
      <alignment horizontal="center" vertical="center"/>
    </xf>
    <xf numFmtId="0" fontId="3" fillId="5" borderId="25" xfId="0" applyFont="1" applyFill="1" applyBorder="1" applyAlignment="1">
      <alignment horizontal="center" vertical="center"/>
    </xf>
    <xf numFmtId="0" fontId="3" fillId="6" borderId="12" xfId="0" applyFont="1" applyFill="1" applyBorder="1" applyAlignment="1">
      <alignment horizontal="center" vertical="center"/>
    </xf>
    <xf numFmtId="0" fontId="4" fillId="9" borderId="15" xfId="0" applyFont="1" applyFill="1" applyBorder="1" applyAlignment="1">
      <alignment horizontal="center" vertical="center" wrapText="1"/>
    </xf>
    <xf numFmtId="1" fontId="3" fillId="8" borderId="27" xfId="0" applyNumberFormat="1" applyFont="1" applyFill="1" applyBorder="1" applyAlignment="1">
      <alignment horizontal="center" vertical="center"/>
    </xf>
    <xf numFmtId="1" fontId="3" fillId="8" borderId="28" xfId="0" applyNumberFormat="1" applyFont="1" applyFill="1" applyBorder="1" applyAlignment="1">
      <alignment horizontal="center" vertical="center"/>
    </xf>
    <xf numFmtId="0" fontId="3" fillId="8" borderId="29" xfId="0" applyFont="1" applyFill="1" applyBorder="1" applyAlignment="1">
      <alignment vertical="center"/>
    </xf>
    <xf numFmtId="0" fontId="3" fillId="8" borderId="30" xfId="0" applyFont="1" applyFill="1" applyBorder="1" applyAlignment="1">
      <alignment vertical="center"/>
    </xf>
    <xf numFmtId="0" fontId="3" fillId="8" borderId="31" xfId="0" applyFont="1" applyFill="1" applyBorder="1" applyAlignment="1">
      <alignment horizontal="center" vertical="center"/>
    </xf>
    <xf numFmtId="0" fontId="3" fillId="0" borderId="10" xfId="0" applyFont="1" applyFill="1" applyBorder="1" applyAlignment="1">
      <alignment horizontal="left" vertical="center"/>
    </xf>
    <xf numFmtId="0" fontId="3" fillId="0" borderId="1" xfId="0" applyFont="1" applyFill="1" applyBorder="1" applyAlignment="1">
      <alignment horizontal="left" vertical="center"/>
    </xf>
    <xf numFmtId="0" fontId="3" fillId="0" borderId="11" xfId="0" applyFont="1" applyFill="1" applyBorder="1" applyAlignment="1">
      <alignment horizontal="left" vertical="center"/>
    </xf>
    <xf numFmtId="0" fontId="3" fillId="0" borderId="2" xfId="0" applyFont="1" applyFill="1" applyBorder="1" applyAlignment="1">
      <alignment horizontal="left"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5" xfId="0" applyFont="1" applyFill="1" applyBorder="1" applyAlignment="1">
      <alignment horizontal="center" vertical="center"/>
    </xf>
    <xf numFmtId="0" fontId="3" fillId="9" borderId="6" xfId="0" applyFont="1" applyFill="1" applyBorder="1" applyAlignment="1">
      <alignment horizontal="center" vertical="center"/>
    </xf>
    <xf numFmtId="0" fontId="3" fillId="9" borderId="0" xfId="0" applyFont="1" applyFill="1" applyBorder="1" applyAlignment="1">
      <alignment horizontal="center" vertical="center"/>
    </xf>
    <xf numFmtId="0" fontId="3" fillId="9" borderId="7"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13" xfId="0" applyFont="1" applyFill="1" applyBorder="1" applyAlignment="1">
      <alignment horizontal="center" vertical="center"/>
    </xf>
    <xf numFmtId="0" fontId="4" fillId="5" borderId="18" xfId="0" applyFont="1" applyFill="1" applyBorder="1" applyAlignment="1">
      <alignment horizontal="center" vertical="center"/>
    </xf>
    <xf numFmtId="0" fontId="4" fillId="5" borderId="19" xfId="0" applyFont="1" applyFill="1" applyBorder="1" applyAlignment="1">
      <alignment horizontal="center" vertical="center"/>
    </xf>
    <xf numFmtId="0" fontId="4" fillId="6" borderId="14" xfId="0" applyFont="1" applyFill="1" applyBorder="1" applyAlignment="1">
      <alignment horizontal="center" vertical="center"/>
    </xf>
    <xf numFmtId="0" fontId="4" fillId="6" borderId="13" xfId="0" applyFont="1" applyFill="1" applyBorder="1" applyAlignment="1">
      <alignment horizontal="center" vertical="center"/>
    </xf>
    <xf numFmtId="0" fontId="4" fillId="7" borderId="21" xfId="0" applyFont="1" applyFill="1" applyBorder="1" applyAlignment="1">
      <alignment horizontal="center" vertical="center"/>
    </xf>
    <xf numFmtId="0" fontId="4" fillId="7" borderId="22"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6"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9" xfId="0" applyFont="1" applyFill="1" applyBorder="1" applyAlignment="1">
      <alignment horizontal="center" vertical="center"/>
    </xf>
    <xf numFmtId="0" fontId="3" fillId="0" borderId="6" xfId="0" applyFont="1" applyFill="1" applyBorder="1" applyAlignment="1">
      <alignment horizontal="left" vertical="center"/>
    </xf>
    <xf numFmtId="0" fontId="3" fillId="0" borderId="0" xfId="0" applyFont="1" applyFill="1" applyBorder="1" applyAlignment="1">
      <alignment horizontal="left" vertical="center"/>
    </xf>
    <xf numFmtId="9" fontId="3" fillId="0" borderId="0" xfId="1" applyFont="1" applyFill="1" applyBorder="1" applyAlignment="1">
      <alignment vertical="center"/>
    </xf>
    <xf numFmtId="0" fontId="4" fillId="0" borderId="6" xfId="0" applyFont="1" applyFill="1" applyBorder="1" applyAlignment="1">
      <alignment vertical="center"/>
    </xf>
    <xf numFmtId="0" fontId="4" fillId="8" borderId="26" xfId="0" applyFont="1" applyFill="1" applyBorder="1" applyAlignment="1">
      <alignment horizontal="left" vertical="center"/>
    </xf>
    <xf numFmtId="0" fontId="5" fillId="4" borderId="0" xfId="0" applyFont="1" applyFill="1" applyBorder="1" applyAlignment="1">
      <alignment horizontal="center" vertical="center"/>
    </xf>
    <xf numFmtId="0" fontId="5" fillId="0" borderId="0" xfId="0" applyFont="1" applyFill="1" applyBorder="1"/>
    <xf numFmtId="164" fontId="5" fillId="6" borderId="14" xfId="0" applyNumberFormat="1" applyFont="1" applyFill="1" applyBorder="1" applyAlignment="1">
      <alignment horizontal="center" vertical="center"/>
    </xf>
    <xf numFmtId="0" fontId="5" fillId="5" borderId="23" xfId="0" applyFont="1" applyFill="1" applyBorder="1" applyAlignment="1">
      <alignment horizontal="center" vertical="center"/>
    </xf>
    <xf numFmtId="0" fontId="5" fillId="6" borderId="14" xfId="0" applyFont="1" applyFill="1" applyBorder="1" applyAlignment="1">
      <alignment horizontal="center" vertical="center"/>
    </xf>
    <xf numFmtId="9" fontId="5" fillId="6" borderId="14" xfId="0" applyNumberFormat="1" applyFont="1" applyFill="1" applyBorder="1" applyAlignment="1">
      <alignment horizontal="center" vertical="center"/>
    </xf>
    <xf numFmtId="0" fontId="5" fillId="7" borderId="21" xfId="0" applyFont="1" applyFill="1" applyBorder="1" applyAlignment="1">
      <alignment horizontal="center" vertical="center"/>
    </xf>
    <xf numFmtId="9" fontId="5" fillId="4" borderId="0" xfId="0" applyNumberFormat="1" applyFont="1" applyFill="1" applyBorder="1" applyAlignment="1">
      <alignment horizontal="center" vertical="center"/>
    </xf>
    <xf numFmtId="0" fontId="6" fillId="0" borderId="0" xfId="0" applyFont="1" applyFill="1" applyBorder="1" applyAlignment="1">
      <alignment horizontal="center"/>
    </xf>
    <xf numFmtId="49" fontId="0" fillId="0" borderId="0" xfId="0" applyNumberFormat="1" applyAlignment="1">
      <alignment horizontal="center" wrapText="1"/>
    </xf>
    <xf numFmtId="49" fontId="0" fillId="0" borderId="0" xfId="0" applyNumberFormat="1" applyAlignment="1">
      <alignment horizont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8"/>
  <sheetViews>
    <sheetView tabSelected="1" topLeftCell="A46" zoomScale="85" zoomScaleNormal="85" workbookViewId="0">
      <selection activeCell="A54" sqref="A54:N58"/>
    </sheetView>
  </sheetViews>
  <sheetFormatPr baseColWidth="10" defaultRowHeight="15" x14ac:dyDescent="0.25"/>
  <cols>
    <col min="6" max="9" width="11.5703125" customWidth="1"/>
    <col min="10" max="10" width="17.85546875" style="1" bestFit="1" customWidth="1"/>
    <col min="11" max="14" width="25.7109375" style="2" customWidth="1"/>
  </cols>
  <sheetData>
    <row r="1" spans="1:14" ht="15.75" thickTop="1" x14ac:dyDescent="0.25">
      <c r="A1" s="48" t="s">
        <v>39</v>
      </c>
      <c r="B1" s="49"/>
      <c r="C1" s="49"/>
      <c r="D1" s="49"/>
      <c r="E1" s="49"/>
      <c r="F1" s="49"/>
      <c r="G1" s="49"/>
      <c r="H1" s="49"/>
      <c r="I1" s="49"/>
      <c r="J1" s="49"/>
      <c r="K1" s="49"/>
      <c r="L1" s="49"/>
      <c r="M1" s="49"/>
      <c r="N1" s="50"/>
    </row>
    <row r="2" spans="1:14" x14ac:dyDescent="0.25">
      <c r="A2" s="51"/>
      <c r="B2" s="52"/>
      <c r="C2" s="52"/>
      <c r="D2" s="52"/>
      <c r="E2" s="52"/>
      <c r="F2" s="52"/>
      <c r="G2" s="52"/>
      <c r="H2" s="52"/>
      <c r="I2" s="52"/>
      <c r="J2" s="52"/>
      <c r="K2" s="52"/>
      <c r="L2" s="52"/>
      <c r="M2" s="52"/>
      <c r="N2" s="53"/>
    </row>
    <row r="3" spans="1:14" ht="20.100000000000001" customHeight="1" x14ac:dyDescent="0.25">
      <c r="A3" s="44" t="s">
        <v>22</v>
      </c>
      <c r="B3" s="45"/>
      <c r="C3" s="45"/>
      <c r="D3" s="10"/>
      <c r="E3" s="10"/>
      <c r="F3" s="10"/>
      <c r="G3" s="10"/>
      <c r="H3" s="10"/>
      <c r="I3" s="10"/>
      <c r="J3" s="10"/>
      <c r="K3" s="62" t="s">
        <v>2</v>
      </c>
      <c r="L3" s="63"/>
      <c r="M3" s="66" t="s">
        <v>3</v>
      </c>
      <c r="N3" s="67"/>
    </row>
    <row r="4" spans="1:14" ht="20.100000000000001" customHeight="1" x14ac:dyDescent="0.25">
      <c r="A4" s="46"/>
      <c r="B4" s="47"/>
      <c r="C4" s="47"/>
      <c r="D4" s="11"/>
      <c r="E4" s="11"/>
      <c r="F4" s="11"/>
      <c r="G4" s="11"/>
      <c r="H4" s="11"/>
      <c r="I4" s="11"/>
      <c r="J4" s="11"/>
      <c r="K4" s="64"/>
      <c r="L4" s="65"/>
      <c r="M4" s="68"/>
      <c r="N4" s="69"/>
    </row>
    <row r="5" spans="1:14" ht="20.100000000000001" customHeight="1" x14ac:dyDescent="0.25">
      <c r="A5" s="44" t="s">
        <v>23</v>
      </c>
      <c r="B5" s="45"/>
      <c r="C5" s="45"/>
      <c r="D5" s="10"/>
      <c r="E5" s="10"/>
      <c r="F5" s="10"/>
      <c r="G5" s="10"/>
      <c r="H5" s="10"/>
      <c r="I5" s="10"/>
      <c r="J5" s="10"/>
      <c r="K5" s="4" t="s">
        <v>18</v>
      </c>
      <c r="L5" s="5" t="s">
        <v>19</v>
      </c>
      <c r="M5" s="6" t="s">
        <v>20</v>
      </c>
      <c r="N5" s="7" t="s">
        <v>21</v>
      </c>
    </row>
    <row r="6" spans="1:14" ht="18.75" x14ac:dyDescent="0.3">
      <c r="A6" s="70"/>
      <c r="B6" s="71"/>
      <c r="C6" s="71"/>
      <c r="D6" s="12"/>
      <c r="E6" s="12"/>
      <c r="F6" s="12"/>
      <c r="G6" s="12"/>
      <c r="H6" s="12"/>
      <c r="I6" s="12"/>
      <c r="J6" s="13"/>
      <c r="K6" s="54" t="s">
        <v>40</v>
      </c>
      <c r="L6" s="56" t="s">
        <v>41</v>
      </c>
      <c r="M6" s="58" t="s">
        <v>40</v>
      </c>
      <c r="N6" s="60" t="s">
        <v>41</v>
      </c>
    </row>
    <row r="7" spans="1:14" ht="18.75" x14ac:dyDescent="0.3">
      <c r="A7" s="46"/>
      <c r="B7" s="47"/>
      <c r="C7" s="47"/>
      <c r="D7" s="14"/>
      <c r="E7" s="14"/>
      <c r="F7" s="14"/>
      <c r="G7" s="14"/>
      <c r="H7" s="14"/>
      <c r="I7" s="14"/>
      <c r="J7" s="15"/>
      <c r="K7" s="55"/>
      <c r="L7" s="57"/>
      <c r="M7" s="59"/>
      <c r="N7" s="61"/>
    </row>
    <row r="8" spans="1:14" ht="57" customHeight="1" x14ac:dyDescent="0.3">
      <c r="A8" s="16"/>
      <c r="B8" s="12"/>
      <c r="C8" s="12"/>
      <c r="D8" s="12"/>
      <c r="E8" s="12"/>
      <c r="F8" s="12"/>
      <c r="G8" s="12"/>
      <c r="H8" s="76"/>
      <c r="I8" s="12"/>
      <c r="J8" s="38" t="s">
        <v>28</v>
      </c>
      <c r="K8" s="26"/>
      <c r="L8" s="36"/>
      <c r="M8" s="37"/>
      <c r="N8" s="8"/>
    </row>
    <row r="9" spans="1:14" s="23" customFormat="1" ht="21.95" customHeight="1" x14ac:dyDescent="0.25">
      <c r="A9" s="21" t="s">
        <v>0</v>
      </c>
      <c r="B9" s="22"/>
      <c r="C9" s="22"/>
      <c r="D9" s="22"/>
      <c r="E9" s="22"/>
      <c r="F9" s="22"/>
      <c r="G9" s="22"/>
      <c r="H9" s="22"/>
      <c r="I9" s="22">
        <v>500</v>
      </c>
      <c r="J9" s="29">
        <f>PRODUCT(I9,12)</f>
        <v>6000</v>
      </c>
      <c r="K9" s="27">
        <f>$J9</f>
        <v>6000</v>
      </c>
      <c r="L9" s="34">
        <f>$J9</f>
        <v>6000</v>
      </c>
      <c r="M9" s="3" t="s">
        <v>10</v>
      </c>
      <c r="N9" s="9" t="s">
        <v>10</v>
      </c>
    </row>
    <row r="10" spans="1:14" s="23" customFormat="1" ht="21.95" customHeight="1" x14ac:dyDescent="0.25">
      <c r="A10" s="21" t="s">
        <v>1</v>
      </c>
      <c r="B10" s="22"/>
      <c r="C10" s="22"/>
      <c r="D10" s="22"/>
      <c r="E10" s="22"/>
      <c r="F10" s="22"/>
      <c r="G10" s="22"/>
      <c r="H10" s="22"/>
      <c r="I10" s="22">
        <v>600</v>
      </c>
      <c r="J10" s="29">
        <f>PRODUCT(I10,12)</f>
        <v>7200</v>
      </c>
      <c r="K10" s="27">
        <f>$J10</f>
        <v>7200</v>
      </c>
      <c r="L10" s="34">
        <f>$J10</f>
        <v>7200</v>
      </c>
      <c r="M10" s="19">
        <f>$J10</f>
        <v>7200</v>
      </c>
      <c r="N10" s="18">
        <f>$J10</f>
        <v>7200</v>
      </c>
    </row>
    <row r="11" spans="1:14" s="23" customFormat="1" ht="21.95" customHeight="1" x14ac:dyDescent="0.25">
      <c r="A11" s="21" t="s">
        <v>46</v>
      </c>
      <c r="B11" s="22"/>
      <c r="C11" s="22"/>
      <c r="D11" s="22"/>
      <c r="E11" s="22"/>
      <c r="F11" s="22"/>
      <c r="G11" s="22"/>
      <c r="H11" s="22"/>
      <c r="I11" s="22"/>
      <c r="J11" s="29">
        <f>J10-J9</f>
        <v>1200</v>
      </c>
      <c r="K11" s="28" t="s">
        <v>14</v>
      </c>
      <c r="L11" s="35" t="s">
        <v>14</v>
      </c>
      <c r="M11" s="3" t="s">
        <v>14</v>
      </c>
      <c r="N11" s="9" t="s">
        <v>14</v>
      </c>
    </row>
    <row r="12" spans="1:14" s="23" customFormat="1" ht="21.95" customHeight="1" x14ac:dyDescent="0.25">
      <c r="A12" s="21" t="s">
        <v>38</v>
      </c>
      <c r="B12" s="22"/>
      <c r="C12" s="22"/>
      <c r="D12" s="22"/>
      <c r="E12" s="22"/>
      <c r="F12" s="22"/>
      <c r="G12" s="22"/>
      <c r="H12" s="22"/>
      <c r="I12" s="22"/>
      <c r="J12" s="29">
        <f>PRODUCT(J11,0.7)</f>
        <v>840</v>
      </c>
      <c r="K12" s="28"/>
      <c r="L12" s="35"/>
      <c r="M12" s="19"/>
      <c r="N12" s="18"/>
    </row>
    <row r="13" spans="1:14" s="23" customFormat="1" ht="21.95" customHeight="1" x14ac:dyDescent="0.25">
      <c r="A13" s="21"/>
      <c r="B13" s="22"/>
      <c r="C13" s="22"/>
      <c r="D13" s="22"/>
      <c r="E13" s="22"/>
      <c r="F13" s="22"/>
      <c r="G13" s="22"/>
      <c r="H13" s="22"/>
      <c r="I13" s="22"/>
      <c r="J13" s="29"/>
      <c r="K13" s="28"/>
      <c r="L13" s="35"/>
      <c r="M13" s="3"/>
      <c r="N13" s="9"/>
    </row>
    <row r="14" spans="1:14" s="23" customFormat="1" ht="21.95" customHeight="1" x14ac:dyDescent="0.25">
      <c r="A14" s="21" t="s">
        <v>29</v>
      </c>
      <c r="B14" s="22"/>
      <c r="C14" s="22"/>
      <c r="D14" s="22"/>
      <c r="E14" s="22"/>
      <c r="F14" s="22"/>
      <c r="G14" s="22"/>
      <c r="H14" s="22"/>
      <c r="I14" s="22"/>
      <c r="J14" s="29">
        <f>SUM(J17:J21,J23,J24,J28)</f>
        <v>9380</v>
      </c>
      <c r="K14" s="75" t="s">
        <v>10</v>
      </c>
      <c r="L14" s="34">
        <f>$J14</f>
        <v>9380</v>
      </c>
      <c r="M14" s="77" t="s">
        <v>10</v>
      </c>
      <c r="N14" s="18">
        <f>$J14</f>
        <v>9380</v>
      </c>
    </row>
    <row r="15" spans="1:14" s="23" customFormat="1" ht="21.95" customHeight="1" x14ac:dyDescent="0.25">
      <c r="A15" s="21"/>
      <c r="B15" s="22"/>
      <c r="C15" s="22"/>
      <c r="D15" s="22"/>
      <c r="E15" s="22"/>
      <c r="F15" s="22"/>
      <c r="G15" s="22"/>
      <c r="H15" s="22"/>
      <c r="I15" s="22"/>
      <c r="J15" s="29"/>
      <c r="K15" s="28"/>
      <c r="L15" s="35"/>
      <c r="M15" s="3"/>
      <c r="N15" s="9"/>
    </row>
    <row r="16" spans="1:14" s="23" customFormat="1" ht="21.95" customHeight="1" x14ac:dyDescent="0.25">
      <c r="A16" s="73" t="s">
        <v>45</v>
      </c>
      <c r="B16" s="22"/>
      <c r="C16" s="22"/>
      <c r="D16" s="22"/>
      <c r="E16" s="22"/>
      <c r="F16" s="22"/>
      <c r="G16" s="22"/>
      <c r="H16" s="22"/>
      <c r="I16" s="22"/>
      <c r="J16" s="29"/>
      <c r="K16" s="28"/>
      <c r="L16" s="35"/>
      <c r="M16" s="3"/>
      <c r="N16" s="9"/>
    </row>
    <row r="17" spans="1:14" s="23" customFormat="1" ht="21.95" customHeight="1" x14ac:dyDescent="0.25">
      <c r="A17" s="21" t="s">
        <v>35</v>
      </c>
      <c r="B17" s="22"/>
      <c r="C17" s="22"/>
      <c r="D17" s="22"/>
      <c r="E17" s="22"/>
      <c r="F17" s="22"/>
      <c r="G17" s="22"/>
      <c r="H17" s="22"/>
      <c r="I17" s="24"/>
      <c r="J17" s="29">
        <f>SUM(J11,-J12)</f>
        <v>360</v>
      </c>
      <c r="K17" s="25">
        <f>$J17</f>
        <v>360</v>
      </c>
      <c r="L17" s="35" t="s">
        <v>8</v>
      </c>
      <c r="M17" s="19">
        <f>$J17</f>
        <v>360</v>
      </c>
      <c r="N17" s="9" t="s">
        <v>8</v>
      </c>
    </row>
    <row r="18" spans="1:14" s="23" customFormat="1" ht="21.95" customHeight="1" x14ac:dyDescent="0.25">
      <c r="A18" s="21" t="s">
        <v>47</v>
      </c>
      <c r="B18" s="22"/>
      <c r="C18" s="22"/>
      <c r="D18" s="22"/>
      <c r="E18" s="22"/>
      <c r="F18" s="22"/>
      <c r="G18" s="22"/>
      <c r="H18" s="22"/>
      <c r="I18" s="72">
        <v>7.0000000000000007E-2</v>
      </c>
      <c r="J18" s="29">
        <f>PRODUCT(J9,I18)</f>
        <v>420.00000000000006</v>
      </c>
      <c r="K18" s="27">
        <f>$J18</f>
        <v>420.00000000000006</v>
      </c>
      <c r="L18" s="35" t="s">
        <v>8</v>
      </c>
      <c r="M18" s="19">
        <f>$J18</f>
        <v>420.00000000000006</v>
      </c>
      <c r="N18" s="9" t="s">
        <v>8</v>
      </c>
    </row>
    <row r="19" spans="1:14" s="23" customFormat="1" ht="21.95" customHeight="1" x14ac:dyDescent="0.25">
      <c r="A19" s="21" t="s">
        <v>4</v>
      </c>
      <c r="B19" s="22"/>
      <c r="C19" s="22"/>
      <c r="D19" s="22"/>
      <c r="E19" s="22"/>
      <c r="F19" s="22"/>
      <c r="G19" s="22"/>
      <c r="H19" s="22"/>
      <c r="I19" s="22"/>
      <c r="J19" s="29">
        <v>200</v>
      </c>
      <c r="K19" s="27">
        <f>$J19</f>
        <v>200</v>
      </c>
      <c r="L19" s="35" t="s">
        <v>8</v>
      </c>
      <c r="M19" s="19">
        <f>$J19</f>
        <v>200</v>
      </c>
      <c r="N19" s="9" t="s">
        <v>8</v>
      </c>
    </row>
    <row r="20" spans="1:14" s="23" customFormat="1" ht="21.95" customHeight="1" x14ac:dyDescent="0.25">
      <c r="A20" s="21" t="s">
        <v>5</v>
      </c>
      <c r="B20" s="22"/>
      <c r="C20" s="22"/>
      <c r="D20" s="22"/>
      <c r="E20" s="22"/>
      <c r="F20" s="22"/>
      <c r="G20" s="22"/>
      <c r="H20" s="22"/>
      <c r="I20" s="22"/>
      <c r="J20" s="29">
        <v>1200</v>
      </c>
      <c r="K20" s="27">
        <f>$J20</f>
        <v>1200</v>
      </c>
      <c r="L20" s="35" t="s">
        <v>8</v>
      </c>
      <c r="M20" s="19">
        <f>$J20</f>
        <v>1200</v>
      </c>
      <c r="N20" s="9" t="s">
        <v>8</v>
      </c>
    </row>
    <row r="21" spans="1:14" s="23" customFormat="1" ht="21.95" customHeight="1" x14ac:dyDescent="0.25">
      <c r="A21" s="21" t="s">
        <v>7</v>
      </c>
      <c r="B21" s="22"/>
      <c r="C21" s="22"/>
      <c r="D21" s="22"/>
      <c r="E21" s="22"/>
      <c r="F21" s="22"/>
      <c r="G21" s="22"/>
      <c r="H21" s="22"/>
      <c r="I21" s="22"/>
      <c r="J21" s="29">
        <v>2000</v>
      </c>
      <c r="K21" s="28" t="s">
        <v>14</v>
      </c>
      <c r="L21" s="35" t="s">
        <v>8</v>
      </c>
      <c r="M21" s="3" t="s">
        <v>14</v>
      </c>
      <c r="N21" s="9" t="s">
        <v>8</v>
      </c>
    </row>
    <row r="22" spans="1:14" s="23" customFormat="1" ht="21.95" customHeight="1" x14ac:dyDescent="0.25">
      <c r="A22" s="21" t="s">
        <v>30</v>
      </c>
      <c r="B22" s="22"/>
      <c r="C22" s="22"/>
      <c r="D22" s="22"/>
      <c r="E22" s="22"/>
      <c r="F22" s="22"/>
      <c r="G22" s="22"/>
      <c r="H22" s="72"/>
      <c r="I22" s="22"/>
      <c r="J22" s="29">
        <v>2800</v>
      </c>
      <c r="K22" s="27">
        <f>$J22</f>
        <v>2800</v>
      </c>
      <c r="L22" s="34">
        <f t="shared" ref="L22:N22" si="0">$J22</f>
        <v>2800</v>
      </c>
      <c r="M22" s="19">
        <f t="shared" si="0"/>
        <v>2800</v>
      </c>
      <c r="N22" s="18">
        <f t="shared" si="0"/>
        <v>2800</v>
      </c>
    </row>
    <row r="23" spans="1:14" s="23" customFormat="1" ht="21.95" customHeight="1" x14ac:dyDescent="0.25">
      <c r="A23" s="21" t="s">
        <v>31</v>
      </c>
      <c r="B23" s="22"/>
      <c r="C23" s="22"/>
      <c r="D23" s="22"/>
      <c r="E23" s="22"/>
      <c r="F23" s="22"/>
      <c r="G23" s="22"/>
      <c r="H23" s="22"/>
      <c r="I23" s="22"/>
      <c r="J23" s="29">
        <v>2200</v>
      </c>
      <c r="K23" s="27">
        <f>$J23</f>
        <v>2200</v>
      </c>
      <c r="L23" s="35" t="s">
        <v>8</v>
      </c>
      <c r="M23" s="19">
        <f>$J23</f>
        <v>2200</v>
      </c>
      <c r="N23" s="9" t="s">
        <v>8</v>
      </c>
    </row>
    <row r="24" spans="1:14" s="23" customFormat="1" ht="21.95" customHeight="1" x14ac:dyDescent="0.25">
      <c r="A24" s="21" t="s">
        <v>33</v>
      </c>
      <c r="B24" s="22"/>
      <c r="C24" s="22"/>
      <c r="D24" s="22"/>
      <c r="E24" s="22"/>
      <c r="F24" s="22"/>
      <c r="G24" s="22"/>
      <c r="H24" s="22"/>
      <c r="I24" s="22"/>
      <c r="J24" s="29">
        <v>1500</v>
      </c>
      <c r="K24" s="27">
        <f>$J24</f>
        <v>1500</v>
      </c>
      <c r="L24" s="35" t="s">
        <v>8</v>
      </c>
      <c r="M24" s="19">
        <f>$J24</f>
        <v>1500</v>
      </c>
      <c r="N24" s="9" t="s">
        <v>8</v>
      </c>
    </row>
    <row r="25" spans="1:14" s="23" customFormat="1" ht="21.95" customHeight="1" x14ac:dyDescent="0.25">
      <c r="A25" s="21" t="s">
        <v>6</v>
      </c>
      <c r="B25" s="22"/>
      <c r="C25" s="22"/>
      <c r="D25" s="22"/>
      <c r="E25" s="22"/>
      <c r="F25" s="22"/>
      <c r="G25" s="22"/>
      <c r="H25" s="22"/>
      <c r="I25" s="22"/>
      <c r="J25" s="29">
        <v>1500</v>
      </c>
      <c r="K25" s="27">
        <f>$J25</f>
        <v>1500</v>
      </c>
      <c r="L25" s="34">
        <f t="shared" ref="L25:N25" si="1">$J25</f>
        <v>1500</v>
      </c>
      <c r="M25" s="19">
        <f t="shared" si="1"/>
        <v>1500</v>
      </c>
      <c r="N25" s="18">
        <f t="shared" si="1"/>
        <v>1500</v>
      </c>
    </row>
    <row r="26" spans="1:14" s="23" customFormat="1" ht="21.95" customHeight="1" x14ac:dyDescent="0.25">
      <c r="A26" s="21" t="s">
        <v>32</v>
      </c>
      <c r="B26" s="22"/>
      <c r="C26" s="22"/>
      <c r="D26" s="22"/>
      <c r="E26" s="22"/>
      <c r="F26" s="22"/>
      <c r="G26" s="22"/>
      <c r="H26" s="22"/>
      <c r="I26" s="22"/>
      <c r="J26" s="29">
        <v>550</v>
      </c>
      <c r="K26" s="75" t="s">
        <v>10</v>
      </c>
      <c r="L26" s="78" t="s">
        <v>10</v>
      </c>
      <c r="M26" s="19">
        <f>$J26</f>
        <v>550</v>
      </c>
      <c r="N26" s="18">
        <f>$J26</f>
        <v>550</v>
      </c>
    </row>
    <row r="27" spans="1:14" s="23" customFormat="1" ht="21.95" customHeight="1" x14ac:dyDescent="0.25">
      <c r="A27" s="21" t="s">
        <v>48</v>
      </c>
      <c r="B27" s="22"/>
      <c r="C27" s="22"/>
      <c r="D27" s="22"/>
      <c r="E27" s="22"/>
      <c r="F27" s="22"/>
      <c r="G27" s="22"/>
      <c r="H27" s="22"/>
      <c r="I27" s="22"/>
      <c r="J27" s="29">
        <v>200</v>
      </c>
      <c r="K27" s="28"/>
      <c r="L27" s="35"/>
      <c r="M27" s="3">
        <f>$J27</f>
        <v>200</v>
      </c>
      <c r="N27" s="9"/>
    </row>
    <row r="28" spans="1:14" s="23" customFormat="1" ht="21.95" customHeight="1" x14ac:dyDescent="0.25">
      <c r="A28" s="21" t="s">
        <v>49</v>
      </c>
      <c r="B28" s="22"/>
      <c r="C28" s="22"/>
      <c r="D28" s="22"/>
      <c r="E28" s="22"/>
      <c r="F28" s="22"/>
      <c r="G28" s="22"/>
      <c r="H28" s="22"/>
      <c r="I28" s="22"/>
      <c r="J28" s="29">
        <v>1500</v>
      </c>
      <c r="K28" s="75" t="s">
        <v>10</v>
      </c>
      <c r="L28" s="34">
        <f>SUM(J28)</f>
        <v>1500</v>
      </c>
      <c r="M28" s="79" t="s">
        <v>10</v>
      </c>
      <c r="N28" s="18">
        <f>SUM(J28)</f>
        <v>1500</v>
      </c>
    </row>
    <row r="29" spans="1:14" s="23" customFormat="1" ht="21.95" customHeight="1" x14ac:dyDescent="0.25">
      <c r="A29" s="73" t="s">
        <v>34</v>
      </c>
      <c r="B29" s="22"/>
      <c r="C29" s="22"/>
      <c r="D29" s="22"/>
      <c r="E29" s="22"/>
      <c r="F29" s="22"/>
      <c r="G29" s="22"/>
      <c r="H29" s="22"/>
      <c r="I29" s="22"/>
      <c r="J29" s="29">
        <f>SUM(J17:J28)</f>
        <v>14430</v>
      </c>
      <c r="K29" s="27">
        <f>SUM(K17:K26)</f>
        <v>10180</v>
      </c>
      <c r="L29" s="34">
        <f>SUM(L14:L26)</f>
        <v>13680</v>
      </c>
      <c r="M29" s="19">
        <f>SUM(M17:M28)</f>
        <v>10930</v>
      </c>
      <c r="N29" s="18">
        <f>SUM(N14:N26)</f>
        <v>14230</v>
      </c>
    </row>
    <row r="30" spans="1:14" s="23" customFormat="1" ht="21.95" customHeight="1" x14ac:dyDescent="0.25">
      <c r="A30" s="21"/>
      <c r="B30" s="22"/>
      <c r="C30" s="22"/>
      <c r="D30" s="22"/>
      <c r="E30" s="22"/>
      <c r="F30" s="22"/>
      <c r="G30" s="22"/>
      <c r="H30" s="22"/>
      <c r="I30" s="22"/>
      <c r="J30" s="30"/>
      <c r="K30" s="28"/>
      <c r="L30" s="35"/>
      <c r="M30" s="3"/>
      <c r="N30" s="9"/>
    </row>
    <row r="31" spans="1:14" s="23" customFormat="1" ht="21.95" customHeight="1" x14ac:dyDescent="0.25">
      <c r="A31" s="21" t="s">
        <v>12</v>
      </c>
      <c r="B31" s="22"/>
      <c r="C31" s="22"/>
      <c r="D31" s="22"/>
      <c r="E31" s="22"/>
      <c r="F31" s="22"/>
      <c r="G31" s="22"/>
      <c r="H31" s="22"/>
      <c r="I31" s="22"/>
      <c r="J31" s="31">
        <v>0.3</v>
      </c>
      <c r="K31" s="28">
        <f>PRODUCT(K9,J31)</f>
        <v>1800</v>
      </c>
      <c r="L31" s="78" t="s">
        <v>10</v>
      </c>
      <c r="M31" s="80" t="s">
        <v>10</v>
      </c>
      <c r="N31" s="81" t="s">
        <v>10</v>
      </c>
    </row>
    <row r="32" spans="1:14" s="23" customFormat="1" ht="21.95" customHeight="1" x14ac:dyDescent="0.25">
      <c r="A32" s="21" t="s">
        <v>13</v>
      </c>
      <c r="B32" s="22"/>
      <c r="C32" s="22"/>
      <c r="D32" s="22"/>
      <c r="E32" s="22"/>
      <c r="F32" s="22"/>
      <c r="G32" s="22"/>
      <c r="H32" s="22"/>
      <c r="I32" s="22"/>
      <c r="J32" s="31">
        <v>0.5</v>
      </c>
      <c r="K32" s="82" t="s">
        <v>10</v>
      </c>
      <c r="L32" s="78" t="s">
        <v>10</v>
      </c>
      <c r="M32" s="3">
        <f>PRODUCT(M10,J32)</f>
        <v>3600</v>
      </c>
      <c r="N32" s="81" t="s">
        <v>10</v>
      </c>
    </row>
    <row r="33" spans="1:14" s="23" customFormat="1" ht="21.95" customHeight="1" x14ac:dyDescent="0.25">
      <c r="A33" s="21" t="s">
        <v>9</v>
      </c>
      <c r="B33" s="22"/>
      <c r="C33" s="22"/>
      <c r="D33" s="22"/>
      <c r="E33" s="22"/>
      <c r="F33" s="22"/>
      <c r="G33" s="22"/>
      <c r="H33" s="22"/>
      <c r="I33" s="22"/>
      <c r="J33" s="30"/>
      <c r="K33" s="28">
        <f>SUM(K9,-K31)</f>
        <v>4200</v>
      </c>
      <c r="L33" s="34" t="s">
        <v>14</v>
      </c>
      <c r="M33" s="3">
        <f>SUM(M10,-M32)</f>
        <v>3600</v>
      </c>
      <c r="N33" s="18" t="s">
        <v>14</v>
      </c>
    </row>
    <row r="34" spans="1:14" s="23" customFormat="1" ht="21.95" customHeight="1" x14ac:dyDescent="0.25">
      <c r="A34" s="21" t="s">
        <v>26</v>
      </c>
      <c r="B34" s="22"/>
      <c r="C34" s="22"/>
      <c r="D34" s="22"/>
      <c r="E34" s="22"/>
      <c r="F34" s="22"/>
      <c r="G34" s="22"/>
      <c r="H34" s="22"/>
      <c r="I34" s="22"/>
      <c r="J34" s="30"/>
      <c r="K34" s="28" t="s">
        <v>14</v>
      </c>
      <c r="L34" s="34">
        <f>ABS(L9-L14)</f>
        <v>3380</v>
      </c>
      <c r="M34" s="3" t="s">
        <v>14</v>
      </c>
      <c r="N34" s="18">
        <f>ABS(N10-N14)</f>
        <v>2180</v>
      </c>
    </row>
    <row r="35" spans="1:14" s="23" customFormat="1" ht="21.95" customHeight="1" x14ac:dyDescent="0.25">
      <c r="A35" s="21"/>
      <c r="B35" s="22"/>
      <c r="C35" s="22"/>
      <c r="D35" s="22"/>
      <c r="E35" s="22"/>
      <c r="F35" s="22"/>
      <c r="G35" s="22"/>
      <c r="H35" s="22"/>
      <c r="I35" s="22"/>
      <c r="J35" s="30"/>
      <c r="K35" s="28"/>
      <c r="L35" s="35"/>
      <c r="M35" s="3"/>
      <c r="N35" s="9"/>
    </row>
    <row r="36" spans="1:14" s="23" customFormat="1" ht="21.95" customHeight="1" x14ac:dyDescent="0.25">
      <c r="A36" s="73" t="s">
        <v>11</v>
      </c>
      <c r="B36" s="22"/>
      <c r="C36" s="22"/>
      <c r="D36" s="22"/>
      <c r="E36" s="22"/>
      <c r="F36" s="22"/>
      <c r="G36" s="22"/>
      <c r="H36" s="22"/>
      <c r="I36" s="22"/>
      <c r="J36" s="30"/>
      <c r="K36" s="27"/>
      <c r="L36" s="35"/>
      <c r="M36" s="3"/>
      <c r="N36" s="9"/>
    </row>
    <row r="37" spans="1:14" s="23" customFormat="1" ht="21.95" customHeight="1" x14ac:dyDescent="0.25">
      <c r="A37" s="21" t="s">
        <v>44</v>
      </c>
      <c r="B37" s="22"/>
      <c r="C37" s="22"/>
      <c r="D37" s="22"/>
      <c r="E37" s="22"/>
      <c r="F37" s="22"/>
      <c r="G37" s="22"/>
      <c r="H37" s="22"/>
      <c r="I37" s="22"/>
      <c r="J37" s="30"/>
      <c r="K37" s="27">
        <f>K10-K29</f>
        <v>-2980</v>
      </c>
      <c r="L37" s="34">
        <f>L10-L29</f>
        <v>-6480</v>
      </c>
      <c r="M37" s="19">
        <f>M10-M29</f>
        <v>-3730</v>
      </c>
      <c r="N37" s="18">
        <f>N10-N29</f>
        <v>-7030</v>
      </c>
    </row>
    <row r="38" spans="1:14" s="23" customFormat="1" ht="21.95" customHeight="1" x14ac:dyDescent="0.25">
      <c r="A38" s="21"/>
      <c r="B38" s="22"/>
      <c r="C38" s="22"/>
      <c r="D38" s="22"/>
      <c r="E38" s="22"/>
      <c r="F38" s="22"/>
      <c r="G38" s="22"/>
      <c r="H38" s="22"/>
      <c r="I38" s="22"/>
      <c r="J38" s="30"/>
      <c r="K38" s="28"/>
      <c r="L38" s="35"/>
      <c r="M38" s="3"/>
      <c r="N38" s="9"/>
    </row>
    <row r="39" spans="1:14" s="23" customFormat="1" ht="21.95" customHeight="1" x14ac:dyDescent="0.25">
      <c r="A39" s="21" t="s">
        <v>42</v>
      </c>
      <c r="B39" s="22"/>
      <c r="C39" s="22"/>
      <c r="D39" s="22"/>
      <c r="E39" s="22"/>
      <c r="F39" s="22"/>
      <c r="G39" s="22"/>
      <c r="H39" s="22"/>
      <c r="I39" s="22"/>
      <c r="J39" s="32">
        <v>0.3</v>
      </c>
      <c r="K39" s="28"/>
      <c r="L39" s="35"/>
      <c r="M39" s="3"/>
      <c r="N39" s="9"/>
    </row>
    <row r="40" spans="1:14" s="23" customFormat="1" ht="21.95" customHeight="1" x14ac:dyDescent="0.25">
      <c r="A40" s="21" t="s">
        <v>15</v>
      </c>
      <c r="B40" s="22"/>
      <c r="C40" s="22"/>
      <c r="D40" s="22"/>
      <c r="E40" s="22"/>
      <c r="F40" s="22"/>
      <c r="G40" s="22"/>
      <c r="H40" s="22"/>
      <c r="I40" s="22"/>
      <c r="J40" s="33">
        <v>0.17199999999999999</v>
      </c>
      <c r="K40" s="28"/>
      <c r="L40" s="35"/>
      <c r="M40" s="3"/>
      <c r="N40" s="9"/>
    </row>
    <row r="41" spans="1:14" s="23" customFormat="1" ht="21.95" customHeight="1" x14ac:dyDescent="0.25">
      <c r="A41" s="21"/>
      <c r="B41" s="22"/>
      <c r="C41" s="22"/>
      <c r="D41" s="22"/>
      <c r="E41" s="22"/>
      <c r="F41" s="22"/>
      <c r="G41" s="22"/>
      <c r="H41" s="22"/>
      <c r="I41" s="22"/>
      <c r="J41" s="30"/>
      <c r="K41" s="28"/>
      <c r="L41" s="35"/>
      <c r="M41" s="3"/>
      <c r="N41" s="9"/>
    </row>
    <row r="42" spans="1:14" s="23" customFormat="1" ht="21.95" customHeight="1" x14ac:dyDescent="0.25">
      <c r="A42" s="21" t="s">
        <v>16</v>
      </c>
      <c r="B42" s="22"/>
      <c r="C42" s="22"/>
      <c r="D42" s="22"/>
      <c r="E42" s="22"/>
      <c r="F42" s="22"/>
      <c r="G42" s="22"/>
      <c r="H42" s="22"/>
      <c r="I42" s="22"/>
      <c r="J42" s="30"/>
      <c r="K42" s="27">
        <f>PRODUCT(SUM($J39:$J40),K33)</f>
        <v>1982.3999999999999</v>
      </c>
      <c r="L42" s="35">
        <v>0</v>
      </c>
      <c r="M42" s="19">
        <f>PRODUCT(SUM($J39:$J40),M33)</f>
        <v>1699.1999999999998</v>
      </c>
      <c r="N42" s="9">
        <v>0</v>
      </c>
    </row>
    <row r="43" spans="1:14" s="23" customFormat="1" ht="21.95" customHeight="1" x14ac:dyDescent="0.25">
      <c r="A43" s="21"/>
      <c r="B43" s="22"/>
      <c r="C43" s="22"/>
      <c r="D43" s="22"/>
      <c r="E43" s="22"/>
      <c r="F43" s="22"/>
      <c r="G43" s="22"/>
      <c r="H43" s="22"/>
      <c r="I43" s="22"/>
      <c r="J43" s="30"/>
      <c r="K43" s="27"/>
      <c r="L43" s="35"/>
      <c r="M43" s="3"/>
      <c r="N43" s="9"/>
    </row>
    <row r="44" spans="1:14" s="23" customFormat="1" ht="21.95" customHeight="1" x14ac:dyDescent="0.25">
      <c r="A44" s="21"/>
      <c r="B44" s="22"/>
      <c r="C44" s="22"/>
      <c r="D44" s="22"/>
      <c r="E44" s="22"/>
      <c r="F44" s="22"/>
      <c r="G44" s="22"/>
      <c r="H44" s="22"/>
      <c r="I44" s="22"/>
      <c r="J44" s="30"/>
      <c r="K44" s="27"/>
      <c r="L44" s="35"/>
      <c r="M44" s="3"/>
      <c r="N44" s="9"/>
    </row>
    <row r="45" spans="1:14" s="23" customFormat="1" ht="21.95" customHeight="1" thickBot="1" x14ac:dyDescent="0.3">
      <c r="A45" s="21"/>
      <c r="B45" s="22"/>
      <c r="C45" s="22"/>
      <c r="D45" s="22"/>
      <c r="E45" s="22"/>
      <c r="F45" s="22"/>
      <c r="G45" s="22"/>
      <c r="H45" s="22"/>
      <c r="I45" s="22"/>
      <c r="J45" s="30"/>
      <c r="K45" s="28"/>
      <c r="L45" s="35"/>
      <c r="M45" s="3"/>
      <c r="N45" s="9"/>
    </row>
    <row r="46" spans="1:14" s="23" customFormat="1" ht="50.1" customHeight="1" thickTop="1" thickBot="1" x14ac:dyDescent="0.3">
      <c r="A46" s="74" t="s">
        <v>17</v>
      </c>
      <c r="B46" s="41"/>
      <c r="C46" s="42"/>
      <c r="D46" s="42"/>
      <c r="E46" s="42"/>
      <c r="F46" s="42"/>
      <c r="G46" s="42"/>
      <c r="H46" s="42"/>
      <c r="I46" s="42"/>
      <c r="J46" s="43"/>
      <c r="K46" s="39">
        <f>K37-K42</f>
        <v>-4962.3999999999996</v>
      </c>
      <c r="L46" s="39">
        <f>L37-L42</f>
        <v>-6480</v>
      </c>
      <c r="M46" s="39">
        <f>M37-M42</f>
        <v>-5429.2</v>
      </c>
      <c r="N46" s="40">
        <f>N37-N42</f>
        <v>-7030</v>
      </c>
    </row>
    <row r="47" spans="1:14" ht="16.5" thickTop="1" x14ac:dyDescent="0.25">
      <c r="A47" s="17" t="s">
        <v>25</v>
      </c>
      <c r="B47" s="17"/>
      <c r="C47" s="17"/>
    </row>
    <row r="48" spans="1:14" ht="15.75" x14ac:dyDescent="0.25">
      <c r="A48" s="83" t="s">
        <v>10</v>
      </c>
      <c r="B48" s="17" t="s">
        <v>24</v>
      </c>
      <c r="C48" s="17"/>
    </row>
    <row r="49" spans="1:14" ht="18.75" x14ac:dyDescent="0.3">
      <c r="A49" s="13" t="s">
        <v>8</v>
      </c>
      <c r="B49" t="s">
        <v>27</v>
      </c>
    </row>
    <row r="50" spans="1:14" ht="18.75" x14ac:dyDescent="0.3">
      <c r="A50" s="13" t="s">
        <v>36</v>
      </c>
      <c r="B50" t="s">
        <v>37</v>
      </c>
    </row>
    <row r="51" spans="1:14" x14ac:dyDescent="0.25">
      <c r="A51" s="1" t="s">
        <v>14</v>
      </c>
      <c r="B51" t="s">
        <v>43</v>
      </c>
      <c r="F51" s="20"/>
    </row>
    <row r="53" spans="1:14" x14ac:dyDescent="0.25">
      <c r="A53" t="s">
        <v>50</v>
      </c>
    </row>
    <row r="54" spans="1:14" x14ac:dyDescent="0.25">
      <c r="A54" s="84" t="s">
        <v>51</v>
      </c>
      <c r="B54" s="85"/>
      <c r="C54" s="85"/>
      <c r="D54" s="85"/>
      <c r="E54" s="85"/>
      <c r="F54" s="85"/>
      <c r="G54" s="85"/>
      <c r="H54" s="85"/>
      <c r="I54" s="85"/>
      <c r="J54" s="85"/>
      <c r="K54" s="85"/>
      <c r="L54" s="85"/>
      <c r="M54" s="85"/>
      <c r="N54" s="85"/>
    </row>
    <row r="55" spans="1:14" x14ac:dyDescent="0.25">
      <c r="A55" s="85"/>
      <c r="B55" s="85"/>
      <c r="C55" s="85"/>
      <c r="D55" s="85"/>
      <c r="E55" s="85"/>
      <c r="F55" s="85"/>
      <c r="G55" s="85"/>
      <c r="H55" s="85"/>
      <c r="I55" s="85"/>
      <c r="J55" s="85"/>
      <c r="K55" s="85"/>
      <c r="L55" s="85"/>
      <c r="M55" s="85"/>
      <c r="N55" s="85"/>
    </row>
    <row r="56" spans="1:14" x14ac:dyDescent="0.25">
      <c r="A56" s="85"/>
      <c r="B56" s="85"/>
      <c r="C56" s="85"/>
      <c r="D56" s="85"/>
      <c r="E56" s="85"/>
      <c r="F56" s="85"/>
      <c r="G56" s="85"/>
      <c r="H56" s="85"/>
      <c r="I56" s="85"/>
      <c r="J56" s="85"/>
      <c r="K56" s="85"/>
      <c r="L56" s="85"/>
      <c r="M56" s="85"/>
      <c r="N56" s="85"/>
    </row>
    <row r="57" spans="1:14" x14ac:dyDescent="0.25">
      <c r="A57" s="85"/>
      <c r="B57" s="85"/>
      <c r="C57" s="85"/>
      <c r="D57" s="85"/>
      <c r="E57" s="85"/>
      <c r="F57" s="85"/>
      <c r="G57" s="85"/>
      <c r="H57" s="85"/>
      <c r="I57" s="85"/>
      <c r="J57" s="85"/>
      <c r="K57" s="85"/>
      <c r="L57" s="85"/>
      <c r="M57" s="85"/>
      <c r="N57" s="85"/>
    </row>
    <row r="58" spans="1:14" x14ac:dyDescent="0.25">
      <c r="A58" s="85"/>
      <c r="B58" s="85"/>
      <c r="C58" s="85"/>
      <c r="D58" s="85"/>
      <c r="E58" s="85"/>
      <c r="F58" s="85"/>
      <c r="G58" s="85"/>
      <c r="H58" s="85"/>
      <c r="I58" s="85"/>
      <c r="J58" s="85"/>
      <c r="K58" s="85"/>
      <c r="L58" s="85"/>
      <c r="M58" s="85"/>
      <c r="N58" s="85"/>
    </row>
  </sheetData>
  <mergeCells count="10">
    <mergeCell ref="A54:N58"/>
    <mergeCell ref="A3:C4"/>
    <mergeCell ref="A1:N2"/>
    <mergeCell ref="K6:K7"/>
    <mergeCell ref="L6:L7"/>
    <mergeCell ref="M6:M7"/>
    <mergeCell ref="N6:N7"/>
    <mergeCell ref="K3:L4"/>
    <mergeCell ref="M3:N4"/>
    <mergeCell ref="A5:C7"/>
  </mergeCells>
  <printOptions horizontalCentered="1" verticalCentered="1"/>
  <pageMargins left="1.968503937007874E-2" right="1.968503937007874E-2" top="1.968503937007874E-2" bottom="1.968503937007874E-2" header="0.15748031496062992" footer="0.15748031496062992"/>
  <pageSetup paperSize="9" scale="5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Feuil1</vt:lpstr>
      <vt:lpstr>Feuil2</vt:lpstr>
      <vt:lpstr>Feuil3</vt:lpstr>
      <vt:lpstr>Feuil1!Zone_d_impression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guygeta</dc:creator>
  <cp:lastModifiedBy>guygeta</cp:lastModifiedBy>
  <cp:lastPrinted>2024-01-13T18:23:35Z</cp:lastPrinted>
  <dcterms:created xsi:type="dcterms:W3CDTF">2024-01-12T19:47:56Z</dcterms:created>
  <dcterms:modified xsi:type="dcterms:W3CDTF">2026-03-11T15:48:52Z</dcterms:modified>
</cp:coreProperties>
</file>